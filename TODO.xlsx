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75" tabRatio="500"/>
  </bookViews>
  <sheets>
    <sheet name="Liste_des_taches" sheetId="1" r:id="rId1"/>
    <sheet name="Avancement_projet" sheetId="2" r:id="rId2"/>
    <sheet name="Detail" sheetId="3" r:id="rId3"/>
    <sheet name="Recap" sheetId="4" r:id="rId4"/>
  </sheets>
  <definedNames>
    <definedName name="ee">Liste_des_taches!$D$40:$D$41</definedName>
  </definedNames>
  <calcPr calcId="144525"/>
</workbook>
</file>

<file path=xl/sharedStrings.xml><?xml version="1.0" encoding="utf-8"?>
<sst xmlns="http://schemas.openxmlformats.org/spreadsheetml/2006/main" count="347" uniqueCount="136">
  <si>
    <t>Ligne</t>
  </si>
  <si>
    <t>Catégorie</t>
  </si>
  <si>
    <t>Module</t>
  </si>
  <si>
    <t>Nom page</t>
  </si>
  <si>
    <t>Description</t>
  </si>
  <si>
    <t>Type</t>
  </si>
  <si>
    <t>Estimation (min)</t>
  </si>
  <si>
    <t>Temps passé</t>
  </si>
  <si>
    <t>Reste à faire</t>
  </si>
  <si>
    <t>Avancement</t>
  </si>
  <si>
    <t>Qui</t>
  </si>
  <si>
    <t>Status</t>
  </si>
  <si>
    <t>Priorité</t>
  </si>
  <si>
    <t>Git</t>
  </si>
  <si>
    <t>Setup</t>
  </si>
  <si>
    <t>Repository</t>
  </si>
  <si>
    <t>Créer le depot Git pour le projet</t>
  </si>
  <si>
    <t>Configuration</t>
  </si>
  <si>
    <t>Toky</t>
  </si>
  <si>
    <t>À faire</t>
  </si>
  <si>
    <t>Haute</t>
  </si>
  <si>
    <t>GitHub Desktop</t>
  </si>
  <si>
    <t xml:space="preserve"> configurer GitHub Desktop</t>
  </si>
  <si>
    <t>.gitignore</t>
  </si>
  <si>
    <t xml:space="preserve">Créer  gitignore </t>
  </si>
  <si>
    <t>Moyenne</t>
  </si>
  <si>
    <t>Workflow</t>
  </si>
  <si>
    <t>Commits</t>
  </si>
  <si>
    <t>Faire des commits réguliers pendant le développement</t>
  </si>
  <si>
    <t>Pratique</t>
  </si>
  <si>
    <t>Database</t>
  </si>
  <si>
    <t>PostgreSQL</t>
  </si>
  <si>
    <t>Schema</t>
  </si>
  <si>
    <t>Créer le schéma de base de données</t>
  </si>
  <si>
    <t>Mysql</t>
  </si>
  <si>
    <t>Anthony</t>
  </si>
  <si>
    <t>Tables</t>
  </si>
  <si>
    <t>Créer les tables (villes, sinistrés, besoins, dons)</t>
  </si>
  <si>
    <t>Functions</t>
  </si>
  <si>
    <t>Créer les fonctions PostgreSQL</t>
  </si>
  <si>
    <t>Procédures</t>
  </si>
  <si>
    <t>Implémenter les procédures stockées</t>
  </si>
  <si>
    <t>Données test</t>
  </si>
  <si>
    <t>Insérer des données de test</t>
  </si>
  <si>
    <t>Backend</t>
  </si>
  <si>
    <t>FlightPHP</t>
  </si>
  <si>
    <t>Structure MVC</t>
  </si>
  <si>
    <t>Créer la structure MVC (Models/Views/Controllers)</t>
  </si>
  <si>
    <t>Architecture</t>
  </si>
  <si>
    <t>Config</t>
  </si>
  <si>
    <t>Configurer la connexion à la base de données</t>
  </si>
  <si>
    <t>Routes</t>
  </si>
  <si>
    <t>Définir les routes de l'application</t>
  </si>
  <si>
    <t>Code</t>
  </si>
  <si>
    <t>Models</t>
  </si>
  <si>
    <t>Ville.php</t>
  </si>
  <si>
    <t>Créer le modèle Ville</t>
  </si>
  <si>
    <t>Ricardo</t>
  </si>
  <si>
    <t>Besoin.php</t>
  </si>
  <si>
    <t>Créer le modèle Besoin</t>
  </si>
  <si>
    <t>Don.php</t>
  </si>
  <si>
    <t>Créer le modèle Don</t>
  </si>
  <si>
    <t>Type.php</t>
  </si>
  <si>
    <t>Créer le modèle Type</t>
  </si>
  <si>
    <t>AffectationModel.php</t>
  </si>
  <si>
    <t>Créer le modèle d'affectation</t>
  </si>
  <si>
    <t>Controllers</t>
  </si>
  <si>
    <t>BesoinController.php</t>
  </si>
  <si>
    <t>Créer le contrôleur des besoins</t>
  </si>
  <si>
    <t>DonController.php</t>
  </si>
  <si>
    <t>Créer le contrôleur des dons</t>
  </si>
  <si>
    <t>AffectationController.php</t>
  </si>
  <si>
    <t>Créer le contrôleur pour l'affectation</t>
  </si>
  <si>
    <t>VilleController.php</t>
  </si>
  <si>
    <t>Créer le contrôleur de Ville</t>
  </si>
  <si>
    <t>TypeController.php</t>
  </si>
  <si>
    <t>Créer le contrôleurType</t>
  </si>
  <si>
    <t>ApiExempleController.php</t>
  </si>
  <si>
    <t>Structure</t>
  </si>
  <si>
    <t>Frontend</t>
  </si>
  <si>
    <t>Pages</t>
  </si>
  <si>
    <t>Dashboard</t>
  </si>
  <si>
    <t>Page tableau de bord (liste villes + besoins + dons)</t>
  </si>
  <si>
    <t>HTML/Bootstrap</t>
  </si>
  <si>
    <t>Saisie Besoins</t>
  </si>
  <si>
    <t>Formulaire de saisie des besoins</t>
  </si>
  <si>
    <t>Saisie Dons</t>
  </si>
  <si>
    <t>Formulaire de saisie des dons</t>
  </si>
  <si>
    <t>Simulation Dispatch</t>
  </si>
  <si>
    <t>Interface de simulation de dispatch</t>
  </si>
  <si>
    <t>Résultats</t>
  </si>
  <si>
    <t>Page d'affichage des résultats dispatch</t>
  </si>
  <si>
    <t>Fonctionnalités</t>
  </si>
  <si>
    <t>Core</t>
  </si>
  <si>
    <t>Algorithme Dispatch</t>
  </si>
  <si>
    <t>Implémenter l'algorithme de dispatch par date</t>
  </si>
  <si>
    <t>Calcul Prix</t>
  </si>
  <si>
    <t>Gérer les calculs de prix unitaires</t>
  </si>
  <si>
    <t>Attribution</t>
  </si>
  <si>
    <t>Système d'attribution dons aux villes</t>
  </si>
  <si>
    <t>Affichage</t>
  </si>
  <si>
    <t>Tableaux données</t>
  </si>
  <si>
    <t>Afficher les données dans des tableaux Bootstrap</t>
  </si>
  <si>
    <t>Validation</t>
  </si>
  <si>
    <t>Formulaires</t>
  </si>
  <si>
    <t>Validation des formulaires côté client et serveur</t>
  </si>
  <si>
    <t>Tests</t>
  </si>
  <si>
    <t>Fonctionnels</t>
  </si>
  <si>
    <t>Tests saisie</t>
  </si>
  <si>
    <t>Tester la saisie des besoins et dons</t>
  </si>
  <si>
    <t>Test</t>
  </si>
  <si>
    <t>Tests dispatch</t>
  </si>
  <si>
    <t>Tester l'algorithme de dispatch</t>
  </si>
  <si>
    <t>Tests affichage</t>
  </si>
  <si>
    <t>Tester l'affichage des résultats</t>
  </si>
  <si>
    <t>Intégration</t>
  </si>
  <si>
    <t>Tests complets</t>
  </si>
  <si>
    <t>Tests end-to-end de l'application</t>
  </si>
  <si>
    <t>Test jeu de donnee</t>
  </si>
  <si>
    <t>Tests de jeu de donnees publie dans P18</t>
  </si>
  <si>
    <t>A faire</t>
  </si>
  <si>
    <t>Filezilla</t>
  </si>
  <si>
    <t xml:space="preserve">Deploiement du projet dans le serveur </t>
  </si>
  <si>
    <t>Deploiement</t>
  </si>
  <si>
    <t>Finalisation</t>
  </si>
  <si>
    <t>Deployment</t>
  </si>
  <si>
    <t>Préparation</t>
  </si>
  <si>
    <t>Préparer pour la présentation</t>
  </si>
  <si>
    <t>Estimation total</t>
  </si>
  <si>
    <t>Total heures</t>
  </si>
  <si>
    <t>Dépassement</t>
  </si>
  <si>
    <t>Total</t>
  </si>
  <si>
    <t>16/02</t>
  </si>
  <si>
    <t>17/02</t>
  </si>
  <si>
    <t>Pourcentage</t>
  </si>
  <si>
    <t>Somme de Estimation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</si>
</sst>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6B6B"/>
        <bgColor rgb="FFFF6600"/>
      </patternFill>
    </fill>
    <fill>
      <patternFill patternType="solid">
        <fgColor rgb="FFFFD93D"/>
        <bgColor rgb="FFFFFF00"/>
      </patternFill>
    </fill>
    <fill>
      <patternFill patternType="solid">
        <fgColor rgb="FF95E1D3"/>
        <bgColor rgb="FFC0C0C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6" borderId="0">
      <alignment vertical="center"/>
    </xf>
    <xf numFmtId="0" fontId="12" fillId="33" borderId="0">
      <alignment vertical="center"/>
    </xf>
    <xf numFmtId="0" fontId="6" fillId="17" borderId="0">
      <alignment vertical="center"/>
    </xf>
    <xf numFmtId="0" fontId="6" fillId="35" borderId="0">
      <alignment vertical="center"/>
    </xf>
    <xf numFmtId="0" fontId="12" fillId="34" borderId="0">
      <alignment vertical="center"/>
    </xf>
    <xf numFmtId="0" fontId="12" fillId="18" borderId="0">
      <alignment vertical="center"/>
    </xf>
    <xf numFmtId="0" fontId="6" fillId="32" borderId="0">
      <alignment vertical="center"/>
    </xf>
    <xf numFmtId="0" fontId="6" fillId="29" borderId="0">
      <alignment vertical="center"/>
    </xf>
    <xf numFmtId="0" fontId="12" fillId="31" borderId="0">
      <alignment vertical="center"/>
    </xf>
    <xf numFmtId="0" fontId="6" fillId="25" borderId="0">
      <alignment vertical="center"/>
    </xf>
    <xf numFmtId="0" fontId="21" fillId="0" borderId="10">
      <alignment vertical="center"/>
    </xf>
    <xf numFmtId="0" fontId="12" fillId="30" borderId="0">
      <alignment vertical="center"/>
    </xf>
    <xf numFmtId="0" fontId="6" fillId="27" borderId="0">
      <alignment vertical="center"/>
    </xf>
    <xf numFmtId="0" fontId="6" fillId="12" borderId="0">
      <alignment vertical="center"/>
    </xf>
    <xf numFmtId="0" fontId="12" fillId="26" borderId="0">
      <alignment vertical="center"/>
    </xf>
    <xf numFmtId="0" fontId="12" fillId="24" borderId="0">
      <alignment vertical="center"/>
    </xf>
    <xf numFmtId="0" fontId="6" fillId="28" borderId="0">
      <alignment vertical="center"/>
    </xf>
    <xf numFmtId="0" fontId="12" fillId="23" borderId="0">
      <alignment vertical="center"/>
    </xf>
    <xf numFmtId="0" fontId="12" fillId="22" borderId="0">
      <alignment vertical="center"/>
    </xf>
    <xf numFmtId="0" fontId="6" fillId="21" borderId="0">
      <alignment vertical="center"/>
    </xf>
    <xf numFmtId="0" fontId="23" fillId="38" borderId="0">
      <alignment vertical="center"/>
    </xf>
    <xf numFmtId="0" fontId="6" fillId="39" borderId="0">
      <alignment vertical="center"/>
    </xf>
    <xf numFmtId="0" fontId="14" fillId="13" borderId="0">
      <alignment vertical="center"/>
    </xf>
    <xf numFmtId="0" fontId="12" fillId="20" borderId="0">
      <alignment vertical="center"/>
    </xf>
    <xf numFmtId="0" fontId="20" fillId="0" borderId="9">
      <alignment vertical="center"/>
    </xf>
    <xf numFmtId="0" fontId="19" fillId="16" borderId="8">
      <alignment vertical="center"/>
    </xf>
    <xf numFmtId="44" fontId="7" fillId="0" borderId="0">
      <alignment vertical="center"/>
    </xf>
    <xf numFmtId="0" fontId="12" fillId="19" borderId="0">
      <alignment vertical="center"/>
    </xf>
    <xf numFmtId="0" fontId="7" fillId="15" borderId="6">
      <alignment vertical="center"/>
    </xf>
    <xf numFmtId="0" fontId="22" fillId="37" borderId="7">
      <alignment vertical="center"/>
    </xf>
    <xf numFmtId="0" fontId="15" fillId="0" borderId="0">
      <alignment vertical="center"/>
    </xf>
    <xf numFmtId="0" fontId="18" fillId="16" borderId="7">
      <alignment vertical="center"/>
    </xf>
    <xf numFmtId="0" fontId="17" fillId="14" borderId="0">
      <alignment vertical="center"/>
    </xf>
    <xf numFmtId="0" fontId="15" fillId="0" borderId="5">
      <alignment vertical="center"/>
    </xf>
    <xf numFmtId="0" fontId="24" fillId="0" borderId="0">
      <alignment vertical="center"/>
    </xf>
    <xf numFmtId="0" fontId="13" fillId="0" borderId="4">
      <alignment vertical="center"/>
    </xf>
    <xf numFmtId="41" fontId="7" fillId="0" borderId="0">
      <alignment vertical="center"/>
    </xf>
    <xf numFmtId="0" fontId="12" fillId="11" borderId="0">
      <alignment vertical="center"/>
    </xf>
    <xf numFmtId="0" fontId="11" fillId="0" borderId="0">
      <alignment vertical="center"/>
    </xf>
    <xf numFmtId="42" fontId="7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9" fillId="0" borderId="4">
      <alignment vertical="center"/>
    </xf>
    <xf numFmtId="43" fontId="7" fillId="0" borderId="0">
      <alignment vertical="center"/>
    </xf>
    <xf numFmtId="0" fontId="8" fillId="10" borderId="3">
      <alignment vertical="center"/>
    </xf>
    <xf numFmtId="0" fontId="6" fillId="9" borderId="0">
      <alignment vertical="center"/>
    </xf>
    <xf numFmtId="9" fontId="7" fillId="0" borderId="0">
      <alignment vertical="center"/>
    </xf>
    <xf numFmtId="0" fontId="5" fillId="0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4D6"/>
      <rgbColor rgb="00CCFFFF"/>
      <rgbColor rgb="00660066"/>
      <rgbColor rgb="00FF6B6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5E1D3"/>
      <rgbColor rgb="00FF99CC"/>
      <rgbColor rgb="00CC99FF"/>
      <rgbColor rgb="00FFC7CE"/>
      <rgbColor rgb="003366FF"/>
      <rgbColor rgb="0033CCCC"/>
      <rgbColor rgb="0099CC00"/>
      <rgbColor rgb="00FFD93D"/>
      <rgbColor rgb="00FF9900"/>
      <rgbColor rgb="00FF6600"/>
      <rgbColor rgb="0036609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D1" workbookViewId="0">
      <pane ySplit="1" topLeftCell="A12" activePane="bottomLeft" state="frozen"/>
      <selection/>
      <selection pane="bottomLeft" activeCell="E47" sqref="E47"/>
    </sheetView>
  </sheetViews>
  <sheetFormatPr defaultColWidth="8.63333333333333" defaultRowHeight="15"/>
  <cols>
    <col min="1" max="1" width="8" customWidth="1"/>
    <col min="2" max="2" width="12" customWidth="1"/>
    <col min="3" max="3" width="15" customWidth="1"/>
    <col min="4" max="4" width="20" customWidth="1"/>
    <col min="5" max="5" width="35" customWidth="1"/>
    <col min="6" max="6" width="18" customWidth="1"/>
    <col min="7" max="9" width="15" customWidth="1"/>
    <col min="10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2">
        <v>15</v>
      </c>
      <c r="H2" s="12">
        <v>4</v>
      </c>
      <c r="I2" s="12">
        <v>11</v>
      </c>
      <c r="J2" s="13">
        <v>0.266666666666667</v>
      </c>
      <c r="K2" s="14" t="s">
        <v>18</v>
      </c>
      <c r="L2" s="2" t="s">
        <v>19</v>
      </c>
      <c r="M2" s="16" t="s">
        <v>20</v>
      </c>
    </row>
    <row r="3" spans="1:13">
      <c r="A3" s="2">
        <v>2</v>
      </c>
      <c r="B3" s="11" t="s">
        <v>13</v>
      </c>
      <c r="C3" s="11" t="s">
        <v>14</v>
      </c>
      <c r="D3" s="11" t="s">
        <v>21</v>
      </c>
      <c r="E3" s="11" t="s">
        <v>22</v>
      </c>
      <c r="F3" s="11" t="s">
        <v>17</v>
      </c>
      <c r="G3" s="12">
        <v>20</v>
      </c>
      <c r="H3" s="12">
        <v>6</v>
      </c>
      <c r="I3" s="12">
        <v>14</v>
      </c>
      <c r="J3" s="13">
        <v>0.3</v>
      </c>
      <c r="K3" s="14" t="s">
        <v>18</v>
      </c>
      <c r="L3" s="2" t="s">
        <v>19</v>
      </c>
      <c r="M3" s="16" t="s">
        <v>20</v>
      </c>
    </row>
    <row r="4" spans="1:13">
      <c r="A4" s="2">
        <v>3</v>
      </c>
      <c r="B4" s="11" t="s">
        <v>13</v>
      </c>
      <c r="C4" s="11" t="s">
        <v>14</v>
      </c>
      <c r="D4" s="11" t="s">
        <v>23</v>
      </c>
      <c r="E4" s="11" t="s">
        <v>24</v>
      </c>
      <c r="F4" s="11" t="s">
        <v>17</v>
      </c>
      <c r="G4" s="12">
        <v>10</v>
      </c>
      <c r="H4" s="12">
        <v>3</v>
      </c>
      <c r="I4" s="12">
        <v>7</v>
      </c>
      <c r="J4" s="13">
        <v>0.3</v>
      </c>
      <c r="K4" s="14" t="s">
        <v>18</v>
      </c>
      <c r="L4" s="2" t="s">
        <v>19</v>
      </c>
      <c r="M4" s="17" t="s">
        <v>25</v>
      </c>
    </row>
    <row r="5" spans="1:13">
      <c r="A5" s="2">
        <v>4</v>
      </c>
      <c r="B5" s="11" t="s">
        <v>13</v>
      </c>
      <c r="C5" s="11" t="s">
        <v>26</v>
      </c>
      <c r="D5" s="11" t="s">
        <v>27</v>
      </c>
      <c r="E5" s="11" t="s">
        <v>28</v>
      </c>
      <c r="F5" s="11" t="s">
        <v>29</v>
      </c>
      <c r="G5" s="12">
        <v>30</v>
      </c>
      <c r="H5" s="12">
        <v>9</v>
      </c>
      <c r="I5" s="12">
        <v>21</v>
      </c>
      <c r="J5" s="13">
        <v>0.3</v>
      </c>
      <c r="K5" s="14" t="s">
        <v>18</v>
      </c>
      <c r="L5" s="2" t="s">
        <v>19</v>
      </c>
      <c r="M5" s="16" t="s">
        <v>20</v>
      </c>
    </row>
    <row r="6" spans="1:13">
      <c r="A6" s="2">
        <v>5</v>
      </c>
      <c r="B6" s="11" t="s">
        <v>30</v>
      </c>
      <c r="C6" s="11" t="s">
        <v>31</v>
      </c>
      <c r="D6" s="11" t="s">
        <v>32</v>
      </c>
      <c r="E6" s="11" t="s">
        <v>33</v>
      </c>
      <c r="F6" s="11" t="s">
        <v>34</v>
      </c>
      <c r="G6" s="12">
        <v>45</v>
      </c>
      <c r="H6" s="12">
        <v>14</v>
      </c>
      <c r="I6" s="12">
        <v>31</v>
      </c>
      <c r="J6" s="13">
        <v>0.311111111111111</v>
      </c>
      <c r="K6" s="15" t="s">
        <v>35</v>
      </c>
      <c r="L6" s="2" t="s">
        <v>19</v>
      </c>
      <c r="M6" s="16" t="s">
        <v>20</v>
      </c>
    </row>
    <row r="7" spans="1:13">
      <c r="A7" s="2">
        <v>6</v>
      </c>
      <c r="B7" s="11" t="s">
        <v>30</v>
      </c>
      <c r="C7" s="11" t="s">
        <v>31</v>
      </c>
      <c r="D7" s="11" t="s">
        <v>36</v>
      </c>
      <c r="E7" s="11" t="s">
        <v>37</v>
      </c>
      <c r="F7" s="11" t="s">
        <v>34</v>
      </c>
      <c r="G7" s="12">
        <v>60</v>
      </c>
      <c r="H7" s="12">
        <v>18</v>
      </c>
      <c r="I7" s="12">
        <v>42</v>
      </c>
      <c r="J7" s="13">
        <v>0.3</v>
      </c>
      <c r="K7" s="15" t="s">
        <v>35</v>
      </c>
      <c r="L7" s="2" t="s">
        <v>19</v>
      </c>
      <c r="M7" s="16" t="s">
        <v>20</v>
      </c>
    </row>
    <row r="8" spans="1:13">
      <c r="A8" s="2"/>
      <c r="B8" s="11"/>
      <c r="C8" s="11"/>
      <c r="D8" s="11"/>
      <c r="E8" s="11"/>
      <c r="F8" s="11"/>
      <c r="G8" s="12"/>
      <c r="H8" s="12">
        <v>0</v>
      </c>
      <c r="I8" s="12">
        <v>0</v>
      </c>
      <c r="J8" s="13">
        <v>0</v>
      </c>
      <c r="K8" s="15"/>
      <c r="L8" s="2"/>
      <c r="M8" s="17"/>
    </row>
    <row r="9" spans="1:13">
      <c r="A9" s="2">
        <v>8</v>
      </c>
      <c r="B9" s="11" t="s">
        <v>30</v>
      </c>
      <c r="C9" s="11" t="s">
        <v>31</v>
      </c>
      <c r="D9" s="11" t="s">
        <v>38</v>
      </c>
      <c r="E9" s="11" t="s">
        <v>39</v>
      </c>
      <c r="F9" s="11" t="s">
        <v>34</v>
      </c>
      <c r="G9" s="12">
        <v>50</v>
      </c>
      <c r="H9" s="12">
        <v>15</v>
      </c>
      <c r="I9" s="12">
        <v>35</v>
      </c>
      <c r="J9" s="13">
        <v>0.3</v>
      </c>
      <c r="K9" s="15" t="s">
        <v>35</v>
      </c>
      <c r="L9" s="2" t="s">
        <v>19</v>
      </c>
      <c r="M9" s="17" t="s">
        <v>25</v>
      </c>
    </row>
    <row r="10" spans="1:13">
      <c r="A10" s="2">
        <v>9</v>
      </c>
      <c r="B10" s="11" t="s">
        <v>30</v>
      </c>
      <c r="C10" s="11" t="s">
        <v>31</v>
      </c>
      <c r="D10" s="11" t="s">
        <v>40</v>
      </c>
      <c r="E10" s="11" t="s">
        <v>41</v>
      </c>
      <c r="F10" s="11" t="s">
        <v>34</v>
      </c>
      <c r="G10" s="12">
        <v>50</v>
      </c>
      <c r="H10" s="12">
        <v>15</v>
      </c>
      <c r="I10" s="12">
        <v>35</v>
      </c>
      <c r="J10" s="13">
        <v>0.3</v>
      </c>
      <c r="K10" s="15" t="s">
        <v>35</v>
      </c>
      <c r="L10" s="2" t="s">
        <v>19</v>
      </c>
      <c r="M10" s="17" t="s">
        <v>25</v>
      </c>
    </row>
    <row r="11" spans="1:13">
      <c r="A11" s="2">
        <v>10</v>
      </c>
      <c r="B11" s="11" t="s">
        <v>30</v>
      </c>
      <c r="C11" s="11" t="s">
        <v>31</v>
      </c>
      <c r="D11" s="11" t="s">
        <v>42</v>
      </c>
      <c r="E11" s="11" t="s">
        <v>43</v>
      </c>
      <c r="F11" s="11" t="s">
        <v>34</v>
      </c>
      <c r="G11" s="12">
        <v>30</v>
      </c>
      <c r="H11" s="12">
        <v>9</v>
      </c>
      <c r="I11" s="12">
        <v>21</v>
      </c>
      <c r="J11" s="13">
        <v>0.3</v>
      </c>
      <c r="K11" s="15" t="s">
        <v>35</v>
      </c>
      <c r="L11" s="2" t="s">
        <v>19</v>
      </c>
      <c r="M11" s="17" t="s">
        <v>25</v>
      </c>
    </row>
    <row r="12" spans="1:13">
      <c r="A12" s="2"/>
      <c r="B12" s="11"/>
      <c r="C12" s="11"/>
      <c r="D12" s="11"/>
      <c r="E12" s="11"/>
      <c r="F12" s="11"/>
      <c r="G12" s="12"/>
      <c r="H12" s="12">
        <v>0</v>
      </c>
      <c r="I12" s="12">
        <v>0</v>
      </c>
      <c r="J12" s="13">
        <v>0</v>
      </c>
      <c r="K12" s="14"/>
      <c r="L12" s="2"/>
      <c r="M12" s="16"/>
    </row>
    <row r="13" spans="1:13">
      <c r="A13" s="2">
        <v>12</v>
      </c>
      <c r="B13" s="11" t="s">
        <v>44</v>
      </c>
      <c r="C13" s="11" t="s">
        <v>45</v>
      </c>
      <c r="D13" s="11" t="s">
        <v>46</v>
      </c>
      <c r="E13" s="11" t="s">
        <v>47</v>
      </c>
      <c r="F13" s="11" t="s">
        <v>48</v>
      </c>
      <c r="G13" s="12">
        <v>30</v>
      </c>
      <c r="H13" s="12">
        <v>9</v>
      </c>
      <c r="I13" s="12">
        <v>21</v>
      </c>
      <c r="J13" s="13">
        <v>0.3</v>
      </c>
      <c r="K13" s="14" t="s">
        <v>18</v>
      </c>
      <c r="L13" s="2" t="s">
        <v>19</v>
      </c>
      <c r="M13" s="16" t="s">
        <v>20</v>
      </c>
    </row>
    <row r="14" spans="1:13">
      <c r="A14" s="2">
        <v>13</v>
      </c>
      <c r="B14" s="11" t="s">
        <v>44</v>
      </c>
      <c r="C14" s="11" t="s">
        <v>45</v>
      </c>
      <c r="D14" s="11" t="s">
        <v>49</v>
      </c>
      <c r="E14" s="11" t="s">
        <v>50</v>
      </c>
      <c r="F14" s="11" t="s">
        <v>17</v>
      </c>
      <c r="G14" s="12">
        <v>20</v>
      </c>
      <c r="H14" s="12">
        <v>6</v>
      </c>
      <c r="I14" s="12">
        <v>14</v>
      </c>
      <c r="J14" s="13">
        <v>0.3</v>
      </c>
      <c r="K14" s="14" t="s">
        <v>18</v>
      </c>
      <c r="L14" s="2" t="s">
        <v>19</v>
      </c>
      <c r="M14" s="16" t="s">
        <v>20</v>
      </c>
    </row>
    <row r="15" spans="1:13">
      <c r="A15" s="2">
        <v>14</v>
      </c>
      <c r="B15" s="11" t="s">
        <v>44</v>
      </c>
      <c r="C15" s="11" t="s">
        <v>45</v>
      </c>
      <c r="D15" s="11" t="s">
        <v>51</v>
      </c>
      <c r="E15" s="11" t="s">
        <v>52</v>
      </c>
      <c r="F15" s="11" t="s">
        <v>53</v>
      </c>
      <c r="G15" s="12">
        <v>40</v>
      </c>
      <c r="H15" s="12">
        <v>12</v>
      </c>
      <c r="I15" s="12">
        <v>28</v>
      </c>
      <c r="J15" s="13">
        <v>0.3</v>
      </c>
      <c r="K15" s="14" t="s">
        <v>18</v>
      </c>
      <c r="L15" s="2" t="s">
        <v>19</v>
      </c>
      <c r="M15" s="16" t="s">
        <v>20</v>
      </c>
    </row>
    <row r="16" spans="1:13">
      <c r="A16" s="2">
        <v>15</v>
      </c>
      <c r="B16" s="11" t="s">
        <v>44</v>
      </c>
      <c r="C16" s="11" t="s">
        <v>54</v>
      </c>
      <c r="D16" s="11" t="s">
        <v>55</v>
      </c>
      <c r="E16" s="11" t="s">
        <v>56</v>
      </c>
      <c r="F16" s="11" t="s">
        <v>53</v>
      </c>
      <c r="G16" s="12">
        <v>25</v>
      </c>
      <c r="H16" s="12">
        <v>8</v>
      </c>
      <c r="I16" s="12">
        <v>17</v>
      </c>
      <c r="J16" s="13">
        <v>0.32</v>
      </c>
      <c r="K16" s="14" t="s">
        <v>57</v>
      </c>
      <c r="L16" s="2" t="s">
        <v>19</v>
      </c>
      <c r="M16" s="16" t="s">
        <v>20</v>
      </c>
    </row>
    <row r="17" ht="12" customHeight="1" spans="1:13">
      <c r="A17" s="2">
        <v>16</v>
      </c>
      <c r="B17" s="11" t="s">
        <v>44</v>
      </c>
      <c r="C17" s="11" t="s">
        <v>54</v>
      </c>
      <c r="D17" s="11" t="s">
        <v>58</v>
      </c>
      <c r="E17" s="11" t="s">
        <v>59</v>
      </c>
      <c r="F17" s="11" t="s">
        <v>53</v>
      </c>
      <c r="G17" s="12">
        <v>30</v>
      </c>
      <c r="H17" s="12">
        <v>9</v>
      </c>
      <c r="I17" s="12">
        <v>21</v>
      </c>
      <c r="J17" s="13">
        <v>0.3</v>
      </c>
      <c r="K17" s="14" t="s">
        <v>57</v>
      </c>
      <c r="L17" s="2" t="s">
        <v>19</v>
      </c>
      <c r="M17" s="16" t="s">
        <v>20</v>
      </c>
    </row>
    <row r="18" spans="1:13">
      <c r="A18" s="2">
        <v>17</v>
      </c>
      <c r="B18" s="11" t="s">
        <v>44</v>
      </c>
      <c r="C18" s="11" t="s">
        <v>54</v>
      </c>
      <c r="D18" s="11" t="s">
        <v>60</v>
      </c>
      <c r="E18" s="11" t="s">
        <v>61</v>
      </c>
      <c r="F18" s="11" t="s">
        <v>53</v>
      </c>
      <c r="G18" s="12">
        <v>30</v>
      </c>
      <c r="H18" s="12">
        <v>9</v>
      </c>
      <c r="I18" s="12">
        <v>21</v>
      </c>
      <c r="J18" s="13">
        <v>0.3</v>
      </c>
      <c r="K18" s="14" t="s">
        <v>57</v>
      </c>
      <c r="L18" s="2" t="s">
        <v>19</v>
      </c>
      <c r="M18" s="16" t="s">
        <v>20</v>
      </c>
    </row>
    <row r="19" spans="1:13">
      <c r="A19" s="2">
        <v>18</v>
      </c>
      <c r="B19" s="11" t="s">
        <v>44</v>
      </c>
      <c r="C19" s="11" t="s">
        <v>54</v>
      </c>
      <c r="D19" s="11" t="s">
        <v>62</v>
      </c>
      <c r="E19" s="11" t="s">
        <v>63</v>
      </c>
      <c r="F19" s="11" t="s">
        <v>53</v>
      </c>
      <c r="G19" s="12">
        <v>25</v>
      </c>
      <c r="H19" s="12">
        <v>8</v>
      </c>
      <c r="I19" s="12">
        <v>17</v>
      </c>
      <c r="J19" s="13">
        <v>0.32</v>
      </c>
      <c r="K19" s="14" t="s">
        <v>57</v>
      </c>
      <c r="L19" s="2" t="s">
        <v>19</v>
      </c>
      <c r="M19" s="16" t="s">
        <v>20</v>
      </c>
    </row>
    <row r="20" spans="1:13">
      <c r="A20" s="2">
        <v>18</v>
      </c>
      <c r="B20" s="11" t="s">
        <v>44</v>
      </c>
      <c r="C20" s="11" t="s">
        <v>54</v>
      </c>
      <c r="D20" s="11" t="s">
        <v>64</v>
      </c>
      <c r="E20" s="11" t="s">
        <v>65</v>
      </c>
      <c r="F20" s="11" t="s">
        <v>53</v>
      </c>
      <c r="G20" s="12">
        <v>25</v>
      </c>
      <c r="H20" s="12">
        <v>8</v>
      </c>
      <c r="I20" s="12">
        <v>17</v>
      </c>
      <c r="J20" s="13">
        <v>0.32</v>
      </c>
      <c r="K20" s="14" t="s">
        <v>57</v>
      </c>
      <c r="L20" s="2" t="s">
        <v>19</v>
      </c>
      <c r="M20" s="16" t="s">
        <v>20</v>
      </c>
    </row>
    <row r="21" spans="1:13">
      <c r="A21" s="2">
        <v>20</v>
      </c>
      <c r="B21" s="11" t="s">
        <v>44</v>
      </c>
      <c r="C21" s="11" t="s">
        <v>66</v>
      </c>
      <c r="D21" s="11" t="s">
        <v>67</v>
      </c>
      <c r="E21" s="11" t="s">
        <v>68</v>
      </c>
      <c r="F21" s="11" t="s">
        <v>53</v>
      </c>
      <c r="G21" s="12">
        <v>50</v>
      </c>
      <c r="H21" s="12">
        <v>15</v>
      </c>
      <c r="I21" s="12">
        <v>35</v>
      </c>
      <c r="J21" s="13">
        <v>0.3</v>
      </c>
      <c r="K21" s="14" t="s">
        <v>57</v>
      </c>
      <c r="L21" s="2" t="s">
        <v>19</v>
      </c>
      <c r="M21" s="16" t="s">
        <v>20</v>
      </c>
    </row>
    <row r="22" spans="1:13">
      <c r="A22" s="2">
        <v>21</v>
      </c>
      <c r="B22" s="11" t="s">
        <v>44</v>
      </c>
      <c r="C22" s="11" t="s">
        <v>66</v>
      </c>
      <c r="D22" s="11" t="s">
        <v>69</v>
      </c>
      <c r="E22" s="11" t="s">
        <v>70</v>
      </c>
      <c r="F22" s="11" t="s">
        <v>53</v>
      </c>
      <c r="G22" s="12">
        <v>50</v>
      </c>
      <c r="H22" s="12">
        <v>15</v>
      </c>
      <c r="I22" s="12">
        <v>35</v>
      </c>
      <c r="J22" s="13">
        <v>0.3</v>
      </c>
      <c r="K22" s="14" t="s">
        <v>57</v>
      </c>
      <c r="L22" s="2" t="s">
        <v>19</v>
      </c>
      <c r="M22" s="16" t="s">
        <v>20</v>
      </c>
    </row>
    <row r="23" ht="13" customHeight="1" spans="1:13">
      <c r="A23" s="2">
        <v>22</v>
      </c>
      <c r="B23" s="11" t="s">
        <v>44</v>
      </c>
      <c r="C23" s="11" t="s">
        <v>66</v>
      </c>
      <c r="D23" s="11" t="s">
        <v>71</v>
      </c>
      <c r="E23" s="11" t="s">
        <v>72</v>
      </c>
      <c r="F23" s="11" t="s">
        <v>53</v>
      </c>
      <c r="G23" s="12">
        <v>60</v>
      </c>
      <c r="H23" s="12">
        <v>18</v>
      </c>
      <c r="I23" s="12">
        <v>42</v>
      </c>
      <c r="J23" s="13">
        <v>0.3</v>
      </c>
      <c r="K23" s="14" t="s">
        <v>57</v>
      </c>
      <c r="L23" s="2" t="s">
        <v>19</v>
      </c>
      <c r="M23" s="16" t="s">
        <v>20</v>
      </c>
    </row>
    <row r="24" ht="13" customHeight="1" spans="1:13">
      <c r="A24" s="2">
        <v>22</v>
      </c>
      <c r="B24" s="11" t="s">
        <v>44</v>
      </c>
      <c r="C24" s="11" t="s">
        <v>66</v>
      </c>
      <c r="D24" s="11" t="s">
        <v>73</v>
      </c>
      <c r="E24" s="11" t="s">
        <v>74</v>
      </c>
      <c r="F24" s="11" t="s">
        <v>53</v>
      </c>
      <c r="G24" s="12">
        <v>60</v>
      </c>
      <c r="H24" s="12">
        <v>18</v>
      </c>
      <c r="I24" s="12">
        <v>42</v>
      </c>
      <c r="J24" s="13">
        <v>0.3</v>
      </c>
      <c r="K24" s="14" t="s">
        <v>57</v>
      </c>
      <c r="L24" s="2" t="s">
        <v>19</v>
      </c>
      <c r="M24" s="16" t="s">
        <v>20</v>
      </c>
    </row>
    <row r="25" ht="13" customHeight="1" spans="1:13">
      <c r="A25" s="2">
        <v>22</v>
      </c>
      <c r="B25" s="11" t="s">
        <v>44</v>
      </c>
      <c r="C25" s="11" t="s">
        <v>66</v>
      </c>
      <c r="D25" s="11" t="s">
        <v>75</v>
      </c>
      <c r="E25" s="11" t="s">
        <v>76</v>
      </c>
      <c r="F25" s="11" t="s">
        <v>53</v>
      </c>
      <c r="G25" s="12">
        <v>60</v>
      </c>
      <c r="H25" s="12">
        <v>18</v>
      </c>
      <c r="I25" s="12">
        <v>42</v>
      </c>
      <c r="J25" s="13">
        <v>0.3</v>
      </c>
      <c r="K25" s="14" t="s">
        <v>57</v>
      </c>
      <c r="L25" s="2" t="s">
        <v>19</v>
      </c>
      <c r="M25" s="16" t="s">
        <v>20</v>
      </c>
    </row>
    <row r="26" ht="13" customHeight="1" spans="1:13">
      <c r="A26" s="2">
        <v>22</v>
      </c>
      <c r="B26" s="11" t="s">
        <v>44</v>
      </c>
      <c r="C26" s="11" t="s">
        <v>66</v>
      </c>
      <c r="D26" s="11" t="s">
        <v>77</v>
      </c>
      <c r="E26" s="11" t="s">
        <v>78</v>
      </c>
      <c r="F26" s="11" t="s">
        <v>53</v>
      </c>
      <c r="G26" s="12">
        <v>60</v>
      </c>
      <c r="H26" s="12">
        <v>18</v>
      </c>
      <c r="I26" s="12">
        <v>42</v>
      </c>
      <c r="J26" s="13">
        <v>0.3</v>
      </c>
      <c r="K26" s="14" t="s">
        <v>57</v>
      </c>
      <c r="L26" s="2" t="s">
        <v>19</v>
      </c>
      <c r="M26" s="16" t="s">
        <v>20</v>
      </c>
    </row>
    <row r="27" spans="1:13">
      <c r="A27" s="2">
        <v>26</v>
      </c>
      <c r="B27" s="11" t="s">
        <v>79</v>
      </c>
      <c r="C27" s="11" t="s">
        <v>80</v>
      </c>
      <c r="D27" s="11" t="s">
        <v>81</v>
      </c>
      <c r="E27" s="11" t="s">
        <v>82</v>
      </c>
      <c r="F27" s="11" t="s">
        <v>83</v>
      </c>
      <c r="G27" s="12">
        <v>90</v>
      </c>
      <c r="H27" s="12">
        <v>27</v>
      </c>
      <c r="I27" s="12">
        <v>63</v>
      </c>
      <c r="J27" s="13">
        <v>0.3</v>
      </c>
      <c r="K27" s="15" t="s">
        <v>35</v>
      </c>
      <c r="L27" s="2" t="s">
        <v>19</v>
      </c>
      <c r="M27" s="16" t="s">
        <v>20</v>
      </c>
    </row>
    <row r="28" spans="1:13">
      <c r="A28" s="2">
        <v>27</v>
      </c>
      <c r="B28" s="11" t="s">
        <v>79</v>
      </c>
      <c r="C28" s="11" t="s">
        <v>80</v>
      </c>
      <c r="D28" s="11" t="s">
        <v>84</v>
      </c>
      <c r="E28" s="11" t="s">
        <v>85</v>
      </c>
      <c r="F28" s="11" t="s">
        <v>83</v>
      </c>
      <c r="G28" s="12">
        <v>60</v>
      </c>
      <c r="H28" s="12">
        <v>18</v>
      </c>
      <c r="I28" s="12">
        <v>42</v>
      </c>
      <c r="J28" s="13">
        <v>0.3</v>
      </c>
      <c r="K28" s="15" t="s">
        <v>35</v>
      </c>
      <c r="L28" s="2" t="s">
        <v>19</v>
      </c>
      <c r="M28" s="16" t="s">
        <v>20</v>
      </c>
    </row>
    <row r="29" spans="1:13">
      <c r="A29" s="2">
        <v>28</v>
      </c>
      <c r="B29" s="11" t="s">
        <v>79</v>
      </c>
      <c r="C29" s="11" t="s">
        <v>80</v>
      </c>
      <c r="D29" s="11" t="s">
        <v>86</v>
      </c>
      <c r="E29" s="11" t="s">
        <v>87</v>
      </c>
      <c r="F29" s="11" t="s">
        <v>83</v>
      </c>
      <c r="G29" s="12">
        <v>60</v>
      </c>
      <c r="H29" s="12">
        <v>18</v>
      </c>
      <c r="I29" s="12">
        <v>42</v>
      </c>
      <c r="J29" s="13">
        <v>0.3</v>
      </c>
      <c r="K29" s="15" t="s">
        <v>35</v>
      </c>
      <c r="L29" s="2" t="s">
        <v>19</v>
      </c>
      <c r="M29" s="16" t="s">
        <v>20</v>
      </c>
    </row>
    <row r="30" spans="1:13">
      <c r="A30" s="2">
        <v>29</v>
      </c>
      <c r="B30" s="11" t="s">
        <v>79</v>
      </c>
      <c r="C30" s="11" t="s">
        <v>80</v>
      </c>
      <c r="D30" s="11" t="s">
        <v>88</v>
      </c>
      <c r="E30" s="11" t="s">
        <v>89</v>
      </c>
      <c r="F30" s="11" t="s">
        <v>83</v>
      </c>
      <c r="G30" s="12">
        <v>70</v>
      </c>
      <c r="H30" s="12">
        <v>21</v>
      </c>
      <c r="I30" s="12">
        <v>49</v>
      </c>
      <c r="J30" s="13">
        <v>0.3</v>
      </c>
      <c r="K30" s="15" t="s">
        <v>35</v>
      </c>
      <c r="L30" s="2" t="s">
        <v>19</v>
      </c>
      <c r="M30" s="16" t="s">
        <v>20</v>
      </c>
    </row>
    <row r="31" spans="1:13">
      <c r="A31" s="2">
        <v>30</v>
      </c>
      <c r="B31" s="11" t="s">
        <v>79</v>
      </c>
      <c r="C31" s="11" t="s">
        <v>80</v>
      </c>
      <c r="D31" s="11" t="s">
        <v>90</v>
      </c>
      <c r="E31" s="11" t="s">
        <v>91</v>
      </c>
      <c r="F31" s="11" t="s">
        <v>83</v>
      </c>
      <c r="G31" s="12">
        <v>50</v>
      </c>
      <c r="H31" s="12">
        <v>15</v>
      </c>
      <c r="I31" s="12">
        <v>35</v>
      </c>
      <c r="J31" s="13">
        <v>0.3</v>
      </c>
      <c r="K31" s="15" t="s">
        <v>35</v>
      </c>
      <c r="L31" s="2" t="s">
        <v>19</v>
      </c>
      <c r="M31" s="17" t="s">
        <v>25</v>
      </c>
    </row>
    <row r="32" spans="1:13">
      <c r="A32" s="2">
        <v>31</v>
      </c>
      <c r="B32" s="11" t="s">
        <v>92</v>
      </c>
      <c r="C32" s="11" t="s">
        <v>93</v>
      </c>
      <c r="D32" s="11" t="s">
        <v>94</v>
      </c>
      <c r="E32" s="11" t="s">
        <v>95</v>
      </c>
      <c r="F32" s="11" t="s">
        <v>53</v>
      </c>
      <c r="G32" s="12">
        <v>90</v>
      </c>
      <c r="H32" s="12">
        <v>27</v>
      </c>
      <c r="I32" s="12">
        <v>63</v>
      </c>
      <c r="J32" s="13">
        <v>0.3</v>
      </c>
      <c r="K32" s="14" t="s">
        <v>18</v>
      </c>
      <c r="L32" s="2" t="s">
        <v>19</v>
      </c>
      <c r="M32" s="16" t="s">
        <v>20</v>
      </c>
    </row>
    <row r="33" spans="1:13">
      <c r="A33" s="2">
        <v>32</v>
      </c>
      <c r="B33" s="11" t="s">
        <v>92</v>
      </c>
      <c r="C33" s="11" t="s">
        <v>93</v>
      </c>
      <c r="D33" s="11" t="s">
        <v>96</v>
      </c>
      <c r="E33" s="11" t="s">
        <v>97</v>
      </c>
      <c r="F33" s="11" t="s">
        <v>53</v>
      </c>
      <c r="G33" s="12">
        <v>30</v>
      </c>
      <c r="H33" s="12">
        <v>9</v>
      </c>
      <c r="I33" s="12">
        <v>21</v>
      </c>
      <c r="J33" s="13">
        <v>0.3</v>
      </c>
      <c r="K33" s="14" t="s">
        <v>18</v>
      </c>
      <c r="L33" s="2" t="s">
        <v>19</v>
      </c>
      <c r="M33" s="16" t="s">
        <v>20</v>
      </c>
    </row>
    <row r="34" spans="1:13">
      <c r="A34" s="2">
        <v>33</v>
      </c>
      <c r="B34" s="11" t="s">
        <v>92</v>
      </c>
      <c r="C34" s="11" t="s">
        <v>93</v>
      </c>
      <c r="D34" s="11" t="s">
        <v>98</v>
      </c>
      <c r="E34" s="11" t="s">
        <v>99</v>
      </c>
      <c r="F34" s="11" t="s">
        <v>53</v>
      </c>
      <c r="G34" s="12">
        <v>60</v>
      </c>
      <c r="H34" s="12">
        <v>18</v>
      </c>
      <c r="I34" s="12">
        <v>42</v>
      </c>
      <c r="J34" s="13">
        <v>0.3</v>
      </c>
      <c r="K34" s="14" t="s">
        <v>18</v>
      </c>
      <c r="L34" s="2" t="s">
        <v>19</v>
      </c>
      <c r="M34" s="16" t="s">
        <v>20</v>
      </c>
    </row>
    <row r="35" spans="1:13">
      <c r="A35" s="2">
        <v>34</v>
      </c>
      <c r="B35" s="11" t="s">
        <v>92</v>
      </c>
      <c r="C35" s="11" t="s">
        <v>100</v>
      </c>
      <c r="D35" s="11" t="s">
        <v>101</v>
      </c>
      <c r="E35" s="11" t="s">
        <v>102</v>
      </c>
      <c r="F35" s="11" t="s">
        <v>53</v>
      </c>
      <c r="G35" s="12">
        <v>40</v>
      </c>
      <c r="H35" s="12">
        <v>12</v>
      </c>
      <c r="I35" s="12">
        <v>28</v>
      </c>
      <c r="J35" s="13">
        <v>0.3</v>
      </c>
      <c r="K35" s="15" t="s">
        <v>57</v>
      </c>
      <c r="L35" s="2" t="s">
        <v>19</v>
      </c>
      <c r="M35" s="17" t="s">
        <v>25</v>
      </c>
    </row>
    <row r="36" spans="1:13">
      <c r="A36" s="2">
        <v>35</v>
      </c>
      <c r="B36" s="11" t="s">
        <v>92</v>
      </c>
      <c r="C36" s="11" t="s">
        <v>103</v>
      </c>
      <c r="D36" s="11" t="s">
        <v>104</v>
      </c>
      <c r="E36" s="11" t="s">
        <v>105</v>
      </c>
      <c r="F36" s="11" t="s">
        <v>53</v>
      </c>
      <c r="G36" s="12">
        <v>45</v>
      </c>
      <c r="H36" s="12">
        <v>14</v>
      </c>
      <c r="I36" s="12">
        <v>31</v>
      </c>
      <c r="J36" s="13">
        <v>0.311111111111111</v>
      </c>
      <c r="K36" s="14" t="s">
        <v>18</v>
      </c>
      <c r="L36" s="2" t="s">
        <v>19</v>
      </c>
      <c r="M36" s="17" t="s">
        <v>25</v>
      </c>
    </row>
    <row r="37" spans="1:13">
      <c r="A37" s="2">
        <v>36</v>
      </c>
      <c r="B37" s="11" t="s">
        <v>106</v>
      </c>
      <c r="C37" s="11" t="s">
        <v>107</v>
      </c>
      <c r="D37" s="11" t="s">
        <v>108</v>
      </c>
      <c r="E37" s="11" t="s">
        <v>109</v>
      </c>
      <c r="F37" s="11" t="s">
        <v>110</v>
      </c>
      <c r="G37" s="12">
        <v>30</v>
      </c>
      <c r="H37" s="12">
        <v>9</v>
      </c>
      <c r="I37" s="12">
        <v>21</v>
      </c>
      <c r="J37" s="13">
        <v>0.3</v>
      </c>
      <c r="K37" s="14" t="s">
        <v>57</v>
      </c>
      <c r="L37" s="2" t="s">
        <v>19</v>
      </c>
      <c r="M37" s="17" t="s">
        <v>25</v>
      </c>
    </row>
    <row r="38" spans="1:13">
      <c r="A38" s="2">
        <v>37</v>
      </c>
      <c r="B38" s="11" t="s">
        <v>106</v>
      </c>
      <c r="C38" s="11" t="s">
        <v>107</v>
      </c>
      <c r="D38" s="11" t="s">
        <v>111</v>
      </c>
      <c r="E38" s="11" t="s">
        <v>112</v>
      </c>
      <c r="F38" s="11" t="s">
        <v>110</v>
      </c>
      <c r="G38" s="12">
        <v>40</v>
      </c>
      <c r="H38" s="12">
        <v>12</v>
      </c>
      <c r="I38" s="12">
        <v>28</v>
      </c>
      <c r="J38" s="13">
        <v>0.3</v>
      </c>
      <c r="K38" s="14" t="s">
        <v>57</v>
      </c>
      <c r="L38" s="2" t="s">
        <v>19</v>
      </c>
      <c r="M38" s="16" t="s">
        <v>20</v>
      </c>
    </row>
    <row r="39" spans="1:13">
      <c r="A39" s="2">
        <v>38</v>
      </c>
      <c r="B39" s="11" t="s">
        <v>106</v>
      </c>
      <c r="C39" s="11" t="s">
        <v>107</v>
      </c>
      <c r="D39" s="11" t="s">
        <v>113</v>
      </c>
      <c r="E39" s="11" t="s">
        <v>114</v>
      </c>
      <c r="F39" s="11" t="s">
        <v>110</v>
      </c>
      <c r="G39" s="12">
        <v>25</v>
      </c>
      <c r="H39" s="12">
        <v>8</v>
      </c>
      <c r="I39" s="12">
        <v>17</v>
      </c>
      <c r="J39" s="13">
        <v>0.32</v>
      </c>
      <c r="K39" s="15" t="s">
        <v>57</v>
      </c>
      <c r="L39" s="2" t="s">
        <v>19</v>
      </c>
      <c r="M39" s="17" t="s">
        <v>25</v>
      </c>
    </row>
    <row r="40" spans="1:13">
      <c r="A40" s="2">
        <v>39</v>
      </c>
      <c r="B40" s="11" t="s">
        <v>106</v>
      </c>
      <c r="C40" s="11" t="s">
        <v>115</v>
      </c>
      <c r="D40" s="11" t="s">
        <v>116</v>
      </c>
      <c r="E40" s="11" t="s">
        <v>117</v>
      </c>
      <c r="F40" s="11" t="s">
        <v>110</v>
      </c>
      <c r="G40" s="12">
        <v>50</v>
      </c>
      <c r="H40" s="12">
        <v>15</v>
      </c>
      <c r="I40" s="12">
        <v>35</v>
      </c>
      <c r="J40" s="13">
        <v>0.3</v>
      </c>
      <c r="K40" s="14" t="s">
        <v>57</v>
      </c>
      <c r="L40" s="2" t="s">
        <v>19</v>
      </c>
      <c r="M40" s="16" t="s">
        <v>20</v>
      </c>
    </row>
    <row r="41" spans="1:13">
      <c r="A41" s="2"/>
      <c r="B41" s="11"/>
      <c r="C41" s="11"/>
      <c r="D41" s="11" t="s">
        <v>118</v>
      </c>
      <c r="E41" s="11" t="s">
        <v>119</v>
      </c>
      <c r="F41" s="11" t="s">
        <v>110</v>
      </c>
      <c r="G41" s="12">
        <v>20</v>
      </c>
      <c r="H41" s="12">
        <v>6</v>
      </c>
      <c r="I41" s="12">
        <v>14</v>
      </c>
      <c r="J41" s="13">
        <v>0.3</v>
      </c>
      <c r="K41" s="15" t="s">
        <v>18</v>
      </c>
      <c r="L41" s="2" t="s">
        <v>120</v>
      </c>
      <c r="M41" s="17" t="s">
        <v>25</v>
      </c>
    </row>
    <row r="42" spans="1:13">
      <c r="A42" s="2"/>
      <c r="B42" s="11"/>
      <c r="C42" s="11"/>
      <c r="D42" s="11" t="s">
        <v>121</v>
      </c>
      <c r="E42" s="11" t="s">
        <v>122</v>
      </c>
      <c r="F42" s="11" t="s">
        <v>123</v>
      </c>
      <c r="G42" s="12">
        <v>10</v>
      </c>
      <c r="H42" s="12">
        <v>3</v>
      </c>
      <c r="I42" s="12">
        <v>7</v>
      </c>
      <c r="J42" s="13">
        <v>0.3</v>
      </c>
      <c r="K42" s="14" t="s">
        <v>57</v>
      </c>
      <c r="L42" s="2"/>
      <c r="M42" s="18" t="s">
        <v>20</v>
      </c>
    </row>
    <row r="43" spans="1:13">
      <c r="A43" s="2"/>
      <c r="B43" s="11"/>
      <c r="C43" s="11"/>
      <c r="D43" s="11"/>
      <c r="E43" s="11"/>
      <c r="F43" s="11"/>
      <c r="G43" s="12"/>
      <c r="H43" s="12">
        <v>0</v>
      </c>
      <c r="I43" s="12">
        <v>0</v>
      </c>
      <c r="J43" s="13">
        <v>0</v>
      </c>
      <c r="K43" s="15"/>
      <c r="L43" s="2"/>
      <c r="M43" s="17"/>
    </row>
    <row r="44" spans="1:13">
      <c r="A44" s="2"/>
      <c r="B44" s="11"/>
      <c r="C44" s="11"/>
      <c r="D44" s="11"/>
      <c r="E44" s="11"/>
      <c r="F44" s="11"/>
      <c r="G44" s="12"/>
      <c r="H44" s="12">
        <v>0</v>
      </c>
      <c r="I44" s="12">
        <v>0</v>
      </c>
      <c r="J44" s="13">
        <v>0</v>
      </c>
      <c r="K44" s="15"/>
      <c r="L44" s="2"/>
      <c r="M44" s="18"/>
    </row>
    <row r="45" spans="1:13">
      <c r="A45" s="2"/>
      <c r="B45" s="11"/>
      <c r="C45" s="11"/>
      <c r="D45" s="11"/>
      <c r="E45" s="11"/>
      <c r="F45" s="11"/>
      <c r="G45" s="12"/>
      <c r="H45" s="12">
        <v>0</v>
      </c>
      <c r="I45" s="12">
        <v>0</v>
      </c>
      <c r="J45" s="13">
        <v>0</v>
      </c>
      <c r="K45" s="14"/>
      <c r="L45" s="2"/>
      <c r="M45" s="17"/>
    </row>
    <row r="46" spans="1:13">
      <c r="A46" s="2">
        <v>45</v>
      </c>
      <c r="B46" s="11" t="s">
        <v>124</v>
      </c>
      <c r="C46" s="11" t="s">
        <v>125</v>
      </c>
      <c r="D46" s="11" t="s">
        <v>126</v>
      </c>
      <c r="E46" s="11" t="s">
        <v>127</v>
      </c>
      <c r="F46" s="11" t="s">
        <v>14</v>
      </c>
      <c r="G46" s="12">
        <v>30</v>
      </c>
      <c r="H46" s="12">
        <v>9</v>
      </c>
      <c r="I46" s="12">
        <v>21</v>
      </c>
      <c r="J46" s="13">
        <v>0.3</v>
      </c>
      <c r="K46" s="14" t="s">
        <v>18</v>
      </c>
      <c r="L46" s="2" t="s">
        <v>19</v>
      </c>
      <c r="M46" s="16" t="s">
        <v>20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37" sqref="C37"/>
    </sheetView>
  </sheetViews>
  <sheetFormatPr defaultColWidth="8.63333333333333" defaultRowHeight="15" outlineLevelRow="3" outlineLevelCol="4"/>
  <cols>
    <col min="1" max="5" width="18" customWidth="1"/>
  </cols>
  <sheetData>
    <row r="1" spans="1:5">
      <c r="A1" s="1" t="s">
        <v>128</v>
      </c>
      <c r="B1" s="1" t="s">
        <v>7</v>
      </c>
      <c r="C1" s="1" t="s">
        <v>8</v>
      </c>
      <c r="D1" s="1" t="s">
        <v>9</v>
      </c>
      <c r="E1" s="1" t="s">
        <v>129</v>
      </c>
    </row>
    <row r="2" ht="15.75" customHeight="1" spans="1:5">
      <c r="A2" s="7">
        <v>1675</v>
      </c>
      <c r="B2" s="7">
        <v>505</v>
      </c>
      <c r="C2" s="7">
        <v>1170</v>
      </c>
      <c r="D2" s="8">
        <v>0.301492537313433</v>
      </c>
      <c r="E2" s="10">
        <v>27.9166666666667</v>
      </c>
    </row>
    <row r="4" spans="1:2">
      <c r="A4" s="9" t="s">
        <v>130</v>
      </c>
      <c r="B4" s="3">
        <f>IF(B2&gt;A2,(B2-A2)/A2,0)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opLeftCell="A12" workbookViewId="0">
      <selection activeCell="E47" sqref="E47"/>
    </sheetView>
  </sheetViews>
  <sheetFormatPr defaultColWidth="8.63333333333333" defaultRowHeight="15" outlineLevelCol="3"/>
  <cols>
    <col min="1" max="1" width="8" customWidth="1"/>
    <col min="2" max="4" width="12" customWidth="1"/>
  </cols>
  <sheetData>
    <row r="1" spans="1:4">
      <c r="A1" s="1" t="s">
        <v>0</v>
      </c>
      <c r="B1" s="1" t="s">
        <v>131</v>
      </c>
      <c r="C1" s="1" t="s">
        <v>132</v>
      </c>
      <c r="D1" s="1" t="s">
        <v>133</v>
      </c>
    </row>
    <row r="2" spans="1:4">
      <c r="A2" s="2">
        <v>1</v>
      </c>
      <c r="B2" s="2">
        <v>0</v>
      </c>
      <c r="C2" s="2">
        <v>0</v>
      </c>
      <c r="D2" s="2">
        <v>0</v>
      </c>
    </row>
    <row r="3" spans="1:4">
      <c r="A3" s="2">
        <v>2</v>
      </c>
      <c r="B3" s="2">
        <v>0</v>
      </c>
      <c r="C3" s="2">
        <v>0</v>
      </c>
      <c r="D3" s="2">
        <v>0</v>
      </c>
    </row>
    <row r="4" spans="1:4">
      <c r="A4" s="2">
        <v>3</v>
      </c>
      <c r="B4" s="2">
        <v>0</v>
      </c>
      <c r="C4" s="2">
        <v>0</v>
      </c>
      <c r="D4" s="2">
        <v>0</v>
      </c>
    </row>
    <row r="5" spans="1:4">
      <c r="A5" s="2">
        <v>4</v>
      </c>
      <c r="B5" s="2">
        <v>0</v>
      </c>
      <c r="C5" s="2">
        <v>0</v>
      </c>
      <c r="D5" s="2">
        <v>0</v>
      </c>
    </row>
    <row r="6" spans="1:4">
      <c r="A6" s="2">
        <v>5</v>
      </c>
      <c r="B6" s="2">
        <v>0</v>
      </c>
      <c r="C6" s="2">
        <v>0</v>
      </c>
      <c r="D6" s="2">
        <v>0</v>
      </c>
    </row>
    <row r="7" spans="1:4">
      <c r="A7" s="2">
        <v>6</v>
      </c>
      <c r="B7" s="2">
        <v>0</v>
      </c>
      <c r="C7" s="2">
        <v>0</v>
      </c>
      <c r="D7" s="2">
        <v>0</v>
      </c>
    </row>
    <row r="8" spans="1:4">
      <c r="A8" s="2">
        <v>7</v>
      </c>
      <c r="B8" s="2">
        <v>0</v>
      </c>
      <c r="C8" s="2">
        <v>0</v>
      </c>
      <c r="D8" s="2">
        <v>0</v>
      </c>
    </row>
    <row r="9" spans="1:4">
      <c r="A9" s="2">
        <v>8</v>
      </c>
      <c r="B9" s="2">
        <v>0</v>
      </c>
      <c r="C9" s="2">
        <v>0</v>
      </c>
      <c r="D9" s="2">
        <v>0</v>
      </c>
    </row>
    <row r="10" spans="1:4">
      <c r="A10" s="2">
        <v>9</v>
      </c>
      <c r="B10" s="2">
        <v>0</v>
      </c>
      <c r="C10" s="2">
        <v>0</v>
      </c>
      <c r="D10" s="2">
        <v>0</v>
      </c>
    </row>
    <row r="11" spans="1:4">
      <c r="A11" s="2">
        <v>10</v>
      </c>
      <c r="B11" s="2">
        <v>0</v>
      </c>
      <c r="C11" s="2">
        <v>0</v>
      </c>
      <c r="D11" s="2">
        <v>0</v>
      </c>
    </row>
    <row r="12" spans="1:4">
      <c r="A12" s="2">
        <v>11</v>
      </c>
      <c r="B12" s="2">
        <v>0</v>
      </c>
      <c r="C12" s="2">
        <v>0</v>
      </c>
      <c r="D12" s="2">
        <v>0</v>
      </c>
    </row>
    <row r="13" spans="1:4">
      <c r="A13" s="2">
        <v>12</v>
      </c>
      <c r="B13" s="2">
        <v>0</v>
      </c>
      <c r="C13" s="2">
        <v>0</v>
      </c>
      <c r="D13" s="2">
        <v>0</v>
      </c>
    </row>
    <row r="14" spans="1:4">
      <c r="A14" s="2">
        <v>13</v>
      </c>
      <c r="B14" s="2">
        <v>0</v>
      </c>
      <c r="C14" s="2">
        <v>0</v>
      </c>
      <c r="D14" s="2">
        <v>0</v>
      </c>
    </row>
    <row r="15" spans="1:4">
      <c r="A15" s="2">
        <v>14</v>
      </c>
      <c r="B15" s="2">
        <v>0</v>
      </c>
      <c r="C15" s="2">
        <v>0</v>
      </c>
      <c r="D15" s="2">
        <v>0</v>
      </c>
    </row>
    <row r="16" spans="1:4">
      <c r="A16" s="2">
        <v>15</v>
      </c>
      <c r="B16" s="2">
        <v>0</v>
      </c>
      <c r="C16" s="2">
        <v>0</v>
      </c>
      <c r="D16" s="2">
        <v>0</v>
      </c>
    </row>
    <row r="17" spans="1:4">
      <c r="A17" s="2">
        <v>16</v>
      </c>
      <c r="B17" s="2">
        <v>0</v>
      </c>
      <c r="C17" s="2">
        <v>0</v>
      </c>
      <c r="D17" s="2">
        <v>0</v>
      </c>
    </row>
    <row r="18" spans="1:4">
      <c r="A18" s="2">
        <v>17</v>
      </c>
      <c r="B18" s="2">
        <v>0</v>
      </c>
      <c r="C18" s="2">
        <v>0</v>
      </c>
      <c r="D18" s="2">
        <v>0</v>
      </c>
    </row>
    <row r="19" spans="1:4">
      <c r="A19" s="2">
        <v>18</v>
      </c>
      <c r="B19" s="2">
        <v>0</v>
      </c>
      <c r="C19" s="2">
        <v>0</v>
      </c>
      <c r="D19" s="2">
        <v>0</v>
      </c>
    </row>
    <row r="20" spans="1:4">
      <c r="A20" s="2">
        <v>19</v>
      </c>
      <c r="B20" s="2">
        <v>0</v>
      </c>
      <c r="C20" s="2">
        <v>0</v>
      </c>
      <c r="D20" s="2">
        <v>0</v>
      </c>
    </row>
    <row r="21" spans="1:4">
      <c r="A21" s="2">
        <v>20</v>
      </c>
      <c r="B21" s="2">
        <v>0</v>
      </c>
      <c r="C21" s="2">
        <v>0</v>
      </c>
      <c r="D21" s="2">
        <v>0</v>
      </c>
    </row>
    <row r="22" spans="1:4">
      <c r="A22" s="2">
        <v>21</v>
      </c>
      <c r="B22" s="2">
        <v>0</v>
      </c>
      <c r="C22" s="2">
        <v>0</v>
      </c>
      <c r="D22" s="2">
        <v>0</v>
      </c>
    </row>
    <row r="23" spans="1:4">
      <c r="A23" s="2">
        <v>22</v>
      </c>
      <c r="B23" s="2">
        <v>0</v>
      </c>
      <c r="C23" s="2">
        <v>0</v>
      </c>
      <c r="D23" s="2">
        <v>0</v>
      </c>
    </row>
    <row r="24" spans="1:4">
      <c r="A24" s="2">
        <v>23</v>
      </c>
      <c r="B24" s="2">
        <v>0</v>
      </c>
      <c r="C24" s="2">
        <v>0</v>
      </c>
      <c r="D24" s="2">
        <v>0</v>
      </c>
    </row>
    <row r="25" spans="1:4">
      <c r="A25" s="2">
        <v>24</v>
      </c>
      <c r="B25" s="2">
        <v>0</v>
      </c>
      <c r="C25" s="2">
        <v>0</v>
      </c>
      <c r="D25" s="2">
        <v>0</v>
      </c>
    </row>
    <row r="26" spans="1:4">
      <c r="A26" s="2">
        <v>25</v>
      </c>
      <c r="B26" s="2">
        <v>0</v>
      </c>
      <c r="C26" s="2">
        <v>0</v>
      </c>
      <c r="D26" s="2">
        <v>0</v>
      </c>
    </row>
    <row r="27" spans="1:4">
      <c r="A27" s="2">
        <v>26</v>
      </c>
      <c r="B27" s="2">
        <v>0</v>
      </c>
      <c r="C27" s="2">
        <v>0</v>
      </c>
      <c r="D27" s="2">
        <v>0</v>
      </c>
    </row>
    <row r="28" spans="1:4">
      <c r="A28" s="2">
        <v>27</v>
      </c>
      <c r="B28" s="2">
        <v>0</v>
      </c>
      <c r="C28" s="2">
        <v>0</v>
      </c>
      <c r="D28" s="2">
        <v>0</v>
      </c>
    </row>
    <row r="29" spans="1:4">
      <c r="A29" s="2">
        <v>28</v>
      </c>
      <c r="B29" s="2">
        <v>0</v>
      </c>
      <c r="C29" s="2">
        <v>0</v>
      </c>
      <c r="D29" s="2">
        <v>0</v>
      </c>
    </row>
    <row r="30" spans="1:4">
      <c r="A30" s="2">
        <v>29</v>
      </c>
      <c r="B30" s="2">
        <v>0</v>
      </c>
      <c r="C30" s="2">
        <v>0</v>
      </c>
      <c r="D30" s="2">
        <v>0</v>
      </c>
    </row>
    <row r="31" spans="1:4">
      <c r="A31" s="2">
        <v>30</v>
      </c>
      <c r="B31" s="2">
        <v>0</v>
      </c>
      <c r="C31" s="2">
        <v>0</v>
      </c>
      <c r="D31" s="2">
        <v>0</v>
      </c>
    </row>
    <row r="32" spans="1:4">
      <c r="A32" s="2">
        <v>31</v>
      </c>
      <c r="B32" s="2">
        <v>0</v>
      </c>
      <c r="C32" s="2">
        <v>0</v>
      </c>
      <c r="D32" s="2">
        <v>0</v>
      </c>
    </row>
    <row r="33" spans="1:4">
      <c r="A33" s="2">
        <v>32</v>
      </c>
      <c r="B33" s="2">
        <v>0</v>
      </c>
      <c r="C33" s="2">
        <v>0</v>
      </c>
      <c r="D33" s="2">
        <v>0</v>
      </c>
    </row>
    <row r="34" spans="1:4">
      <c r="A34" s="2">
        <v>33</v>
      </c>
      <c r="B34" s="2">
        <v>0</v>
      </c>
      <c r="C34" s="2">
        <v>0</v>
      </c>
      <c r="D34" s="2">
        <v>0</v>
      </c>
    </row>
    <row r="35" spans="1:4">
      <c r="A35" s="2">
        <v>34</v>
      </c>
      <c r="B35" s="2">
        <v>0</v>
      </c>
      <c r="C35" s="2">
        <v>0</v>
      </c>
      <c r="D35" s="2">
        <v>0</v>
      </c>
    </row>
    <row r="36" spans="1:4">
      <c r="A36" s="2">
        <v>35</v>
      </c>
      <c r="B36" s="2">
        <v>0</v>
      </c>
      <c r="C36" s="2">
        <v>0</v>
      </c>
      <c r="D36" s="2">
        <v>0</v>
      </c>
    </row>
    <row r="37" spans="1:4">
      <c r="A37" s="2">
        <v>36</v>
      </c>
      <c r="B37" s="2">
        <v>0</v>
      </c>
      <c r="C37" s="2">
        <v>0</v>
      </c>
      <c r="D37" s="2">
        <v>0</v>
      </c>
    </row>
    <row r="38" spans="1:4">
      <c r="A38" s="2">
        <v>37</v>
      </c>
      <c r="B38" s="2">
        <v>0</v>
      </c>
      <c r="C38" s="2">
        <v>0</v>
      </c>
      <c r="D38" s="2">
        <v>0</v>
      </c>
    </row>
    <row r="39" spans="1:4">
      <c r="A39" s="2">
        <v>38</v>
      </c>
      <c r="B39" s="2">
        <v>0</v>
      </c>
      <c r="C39" s="2">
        <v>0</v>
      </c>
      <c r="D39" s="2">
        <v>0</v>
      </c>
    </row>
    <row r="40" spans="1:4">
      <c r="A40" s="2">
        <v>39</v>
      </c>
      <c r="B40" s="2">
        <v>0</v>
      </c>
      <c r="C40" s="2">
        <v>0</v>
      </c>
      <c r="D40" s="2">
        <v>0</v>
      </c>
    </row>
    <row r="41" spans="1:4">
      <c r="A41" s="2">
        <v>40</v>
      </c>
      <c r="B41" s="2">
        <v>0</v>
      </c>
      <c r="C41" s="2">
        <v>0</v>
      </c>
      <c r="D41" s="2">
        <v>0</v>
      </c>
    </row>
    <row r="42" spans="1:4">
      <c r="A42" s="2">
        <v>41</v>
      </c>
      <c r="B42" s="2">
        <v>0</v>
      </c>
      <c r="C42" s="2">
        <v>0</v>
      </c>
      <c r="D42" s="2">
        <v>0</v>
      </c>
    </row>
    <row r="43" spans="1:4">
      <c r="A43" s="2">
        <v>42</v>
      </c>
      <c r="B43" s="2">
        <v>0</v>
      </c>
      <c r="C43" s="2">
        <v>0</v>
      </c>
      <c r="D43" s="2">
        <v>0</v>
      </c>
    </row>
    <row r="44" spans="1:4">
      <c r="A44" s="2">
        <v>43</v>
      </c>
      <c r="B44" s="2">
        <v>0</v>
      </c>
      <c r="C44" s="2">
        <v>0</v>
      </c>
      <c r="D44" s="2">
        <v>0</v>
      </c>
    </row>
    <row r="45" spans="1:4">
      <c r="A45" s="2">
        <v>44</v>
      </c>
      <c r="B45" s="2">
        <v>0</v>
      </c>
      <c r="C45" s="2">
        <v>0</v>
      </c>
      <c r="D45" s="2">
        <v>0</v>
      </c>
    </row>
    <row r="46" spans="1:4">
      <c r="A46" s="2">
        <v>45</v>
      </c>
      <c r="B46" s="2">
        <v>0</v>
      </c>
      <c r="C46" s="2">
        <v>0</v>
      </c>
      <c r="D46" s="2"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8" sqref="B8"/>
    </sheetView>
  </sheetViews>
  <sheetFormatPr defaultColWidth="8.63333333333333" defaultRowHeight="15" outlineLevelRow="7" outlineLevelCol="1"/>
  <cols>
    <col min="1" max="1" width="18" customWidth="1"/>
    <col min="2" max="2" width="20" customWidth="1"/>
  </cols>
  <sheetData>
    <row r="1" spans="1:2">
      <c r="A1" s="1" t="s">
        <v>9</v>
      </c>
      <c r="B1" s="1" t="s">
        <v>134</v>
      </c>
    </row>
    <row r="2" spans="1:2">
      <c r="A2" s="2" t="s">
        <v>9</v>
      </c>
      <c r="B2" s="3">
        <f>Avancement_projet!D2</f>
        <v>0.301492537313433</v>
      </c>
    </row>
    <row r="3" spans="1:2">
      <c r="A3" s="2"/>
      <c r="B3" s="2"/>
    </row>
    <row r="4" spans="1:2">
      <c r="A4" s="4" t="s">
        <v>10</v>
      </c>
      <c r="B4" s="4" t="s">
        <v>135</v>
      </c>
    </row>
    <row r="5" spans="1:2">
      <c r="A5" s="2" t="s">
        <v>18</v>
      </c>
      <c r="B5" s="2">
        <v>624</v>
      </c>
    </row>
    <row r="6" spans="1:2">
      <c r="A6" s="2" t="s">
        <v>57</v>
      </c>
      <c r="B6" s="2">
        <v>411</v>
      </c>
    </row>
    <row r="7" spans="1:2">
      <c r="A7" s="5" t="s">
        <v>35</v>
      </c>
      <c r="B7" s="5">
        <v>528</v>
      </c>
    </row>
    <row r="8" spans="1:2">
      <c r="A8" s="6" t="s">
        <v>131</v>
      </c>
      <c r="B8">
        <f>SUM(B5:B7)</f>
        <v>1563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Liste_des_taches</vt:lpstr>
      <vt:lpstr>Avancement_projet</vt:lpstr>
      <vt:lpstr>Detail</vt:lpstr>
      <vt:lpstr>Recap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itu</cp:lastModifiedBy>
  <cp:revision>0</cp:revision>
  <dcterms:created xsi:type="dcterms:W3CDTF">2026-02-16T16:35:00Z</dcterms:created>
  <dcterms:modified xsi:type="dcterms:W3CDTF">2026-02-17T15:20:26Z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